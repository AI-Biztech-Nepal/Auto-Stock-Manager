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 Pipeline" sheetId="1" state="visible" r:id="rId3"/>
  </sheets>
  <definedNames>
    <definedName function="false" hidden="true" localSheetId="0" name="_xlnm._FilterDatabase" vbProcedure="false">'Inventory Pipeline'!$A$4:$I$40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<sst xmlns="http://schemas.openxmlformats.org/spreadsheetml/2006/main" count="24" uniqueCount="24">
  <si>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G&amp;G AUTO — VEHICLE INVENTORY PIPELINE</t>
  </si>
  <si>
    <t xml:space="preserve">As of:  [Enter Date]        Prepared By:  [Name]</t>
  </si>
  <si>
    <t xml:space="preserve">S.N.</t>
  </si>
  <si>
    <t xml:space="preserve">Date Acquired</t>
  </si>
  <si>
    <t xml:space="preserve">Bike Model / Name</t>
  </si>
  <si>
    <t xml:space="preserve">Reg. / Chassis No.</t>
  </si>
  <si>
    <t xml:space="preserve">Purchase Price (Rs.)</t>
  </si>
  <si>
    <t xml:space="preserve">Status</t>
  </si>
  <si>
    <t xml:space="preserve">Days in Stock</t>
  </si>
  <si>
    <t xml:space="preserve">Target Selling Price (Rs.)</t>
  </si>
  <si>
    <t xml:space="preserve">Notes</t>
  </si>
  <si>
    <t xml:space="preserve">PIPELINE SUMMARY</t>
  </si>
  <si>
    <t xml:space="preserve">Available</t>
  </si>
  <si>
    <t xml:space="preserve">Unlisted</t>
  </si>
  <si>
    <t xml:space="preserve">In Repair</t>
  </si>
  <si>
    <t xml:space="preserve">Reserved</t>
  </si>
  <si>
    <t xml:space="preserve">Sold</t>
  </si>
  <si>
    <t xml:space="preserve">Total in Stock*</t>
  </si>
  <si>
    <t xml:space="preserve">Legend:</t>
  </si>
  <si>
    <t xml:space="preserve">• Status column has a dropdown — click a cell and choose: Available, Unlisted, In Repair, Reserved, or Sold.</t>
  </si>
  <si>
    <t xml:space="preserve">• Row colour updates automatically by status (green = Available, amber = Reserved, red = In Repair, grey = Unlisted/Sold).</t>
  </si>
  <si>
    <t xml:space="preserve">• Days in Stock counts automatically from Date Acquired to today.</t>
  </si>
  <si>
    <t xml:space="preserve">• When a bike sells, set Status to "Sold" here and move its details to the Monthly Sales Closing Report.</t>
  </si>
  <si>
    <t xml:space="preserve">* Total in Stock excludes bikes marked Sold.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</si>
</sst>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E5E7E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374151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sz val="9"/>
      <color rgb="FF37415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C9922C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93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ont>
        <name val="Arial"/>
        <charset val="1"/>
        <family val="0"/>
        <b val="1"/>
        <color rgb="FF1E7B34"/>
        <sz val="10"/>
      </font>
      <fill>
        <patternFill>
          <bgColor rgb="FFDCFCE7"/>
        </patternFill>
      </fill>
    </dxf>
    <dxf>
      <font>
        <name val="Arial"/>
        <charset val="1"/>
        <family val="0"/>
        <b val="1"/>
        <color rgb="FF92610A"/>
        <sz val="10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B3261E"/>
        <sz val="10"/>
      </font>
      <fill>
        <patternFill>
          <bgColor rgb="FFFEE2E2"/>
        </patternFill>
      </fill>
    </dxf>
    <dxf>
      <font>
        <name val="Arial"/>
        <charset val="1"/>
        <family val="0"/>
        <b val="1"/>
        <color rgb="FF374151"/>
        <sz val="10"/>
      </font>
      <fill>
        <patternFill>
          <bgColor rgb="FFE5E7EB"/>
        </patternFill>
      </fill>
    </dxf>
    <dxf>
      <font>
        <name val="Arial"/>
        <charset val="1"/>
        <family val="0"/>
        <i val="1"/>
        <color rgb="FF9CA3AF"/>
        <sz val="10"/>
      </font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92610A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C9922C"/>
      <rgbColor rgb="FFFF6600"/>
      <rgbColor rgb="FF666699"/>
      <rgbColor rgb="FF9CA3AF"/>
      <rgbColor rgb="FF003366"/>
      <rgbColor rgb="FF339966"/>
      <rgbColor rgb="FF111827"/>
      <rgbColor rgb="FF333300"/>
      <rgbColor rgb="FFB3261E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7" min="6" style="0" width="13"/>
    <col collapsed="false" customWidth="true" hidden="false" outlineLevel="0" max="8" min="8" style="0" width="20"/>
    <col collapsed="false" customWidth="true" hidden="false" outlineLevel="0" max="9" min="9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15" hidden="false" customHeight="false" outlineLevel="0" collapsed="false">
      <c r="A5" s="5" t="str">
        <f aca="false">IF(C5="","",ROW()-5+1)</f>
        <v/>
      </c>
      <c r="B5" s="6"/>
      <c r="C5" s="7"/>
      <c r="D5" s="7"/>
      <c r="E5" s="8"/>
      <c r="F5" s="5"/>
      <c r="G5" s="5" t="str">
        <f aca="true">IF(OR(C5="",B5=""),"",TODAY()-B5)</f>
        <v/>
      </c>
      <c r="H5" s="8"/>
      <c r="I5" s="7"/>
    </row>
    <row r="6" customFormat="false" ht="15" hidden="false" customHeight="false" outlineLevel="0" collapsed="false">
      <c r="A6" s="9" t="str">
        <f aca="false">IF(C6="","",ROW()-5+1)</f>
        <v/>
      </c>
      <c r="B6" s="10"/>
      <c r="C6" s="11"/>
      <c r="D6" s="11"/>
      <c r="E6" s="12"/>
      <c r="F6" s="9"/>
      <c r="G6" s="9" t="str">
        <f aca="true">IF(OR(C6="",B6=""),"",TODAY()-B6)</f>
        <v/>
      </c>
      <c r="H6" s="12"/>
      <c r="I6" s="11"/>
    </row>
    <row r="7" customFormat="false" ht="15" hidden="false" customHeight="false" outlineLevel="0" collapsed="false">
      <c r="A7" s="5" t="str">
        <f aca="false">IF(C7="","",ROW()-5+1)</f>
        <v/>
      </c>
      <c r="B7" s="6"/>
      <c r="C7" s="7"/>
      <c r="D7" s="7"/>
      <c r="E7" s="8"/>
      <c r="F7" s="5"/>
      <c r="G7" s="5" t="str">
        <f aca="true">IF(OR(C7="",B7=""),"",TODAY()-B7)</f>
        <v/>
      </c>
      <c r="H7" s="8"/>
      <c r="I7" s="7"/>
    </row>
    <row r="8" customFormat="false" ht="15" hidden="false" customHeight="false" outlineLevel="0" collapsed="false">
      <c r="A8" s="9" t="str">
        <f aca="false">IF(C8="","",ROW()-5+1)</f>
        <v/>
      </c>
      <c r="B8" s="10"/>
      <c r="C8" s="11"/>
      <c r="D8" s="11"/>
      <c r="E8" s="12"/>
      <c r="F8" s="9"/>
      <c r="G8" s="9" t="str">
        <f aca="true">IF(OR(C8="",B8=""),"",TODAY()-B8)</f>
        <v/>
      </c>
      <c r="H8" s="12"/>
      <c r="I8" s="11"/>
    </row>
    <row r="9" customFormat="false" ht="15" hidden="false" customHeight="false" outlineLevel="0" collapsed="false">
      <c r="A9" s="5" t="str">
        <f aca="false">IF(C9="","",ROW()-5+1)</f>
        <v/>
      </c>
      <c r="B9" s="6"/>
      <c r="C9" s="7"/>
      <c r="D9" s="7"/>
      <c r="E9" s="8"/>
      <c r="F9" s="5"/>
      <c r="G9" s="5" t="str">
        <f aca="true">IF(OR(C9="",B9=""),"",TODAY()-B9)</f>
        <v/>
      </c>
      <c r="H9" s="8"/>
      <c r="I9" s="7"/>
    </row>
    <row r="10" customFormat="false" ht="15" hidden="false" customHeight="false" outlineLevel="0" collapsed="false">
      <c r="A10" s="9" t="str">
        <f aca="false">IF(C10="","",ROW()-5+1)</f>
        <v/>
      </c>
      <c r="B10" s="10"/>
      <c r="C10" s="11"/>
      <c r="D10" s="11"/>
      <c r="E10" s="12"/>
      <c r="F10" s="9"/>
      <c r="G10" s="9" t="str">
        <f aca="true">IF(OR(C10="",B10=""),"",TODAY()-B10)</f>
        <v/>
      </c>
      <c r="H10" s="12"/>
      <c r="I10" s="11"/>
    </row>
    <row r="11" customFormat="false" ht="15" hidden="false" customHeight="false" outlineLevel="0" collapsed="false">
      <c r="A11" s="5" t="str">
        <f aca="false">IF(C11="","",ROW()-5+1)</f>
        <v/>
      </c>
      <c r="B11" s="6"/>
      <c r="C11" s="7"/>
      <c r="D11" s="7"/>
      <c r="E11" s="8"/>
      <c r="F11" s="5"/>
      <c r="G11" s="5" t="str">
        <f aca="true">IF(OR(C11="",B11=""),"",TODAY()-B11)</f>
        <v/>
      </c>
      <c r="H11" s="8"/>
      <c r="I11" s="7"/>
    </row>
    <row r="12" customFormat="false" ht="15" hidden="false" customHeight="false" outlineLevel="0" collapsed="false">
      <c r="A12" s="9" t="str">
        <f aca="false">IF(C12="","",ROW()-5+1)</f>
        <v/>
      </c>
      <c r="B12" s="10"/>
      <c r="C12" s="11"/>
      <c r="D12" s="11"/>
      <c r="E12" s="12"/>
      <c r="F12" s="9"/>
      <c r="G12" s="9" t="str">
        <f aca="true">IF(OR(C12="",B12=""),"",TODAY()-B12)</f>
        <v/>
      </c>
      <c r="H12" s="12"/>
      <c r="I12" s="11"/>
    </row>
    <row r="13" customFormat="false" ht="15" hidden="false" customHeight="false" outlineLevel="0" collapsed="false">
      <c r="A13" s="5" t="str">
        <f aca="false">IF(C13="","",ROW()-5+1)</f>
        <v/>
      </c>
      <c r="B13" s="6"/>
      <c r="C13" s="7"/>
      <c r="D13" s="7"/>
      <c r="E13" s="8"/>
      <c r="F13" s="5"/>
      <c r="G13" s="5" t="str">
        <f aca="true">IF(OR(C13="",B13=""),"",TODAY()-B13)</f>
        <v/>
      </c>
      <c r="H13" s="8"/>
      <c r="I13" s="7"/>
    </row>
    <row r="14" customFormat="false" ht="15" hidden="false" customHeight="false" outlineLevel="0" collapsed="false">
      <c r="A14" s="9" t="str">
        <f aca="false">IF(C14="","",ROW()-5+1)</f>
        <v/>
      </c>
      <c r="B14" s="10"/>
      <c r="C14" s="11"/>
      <c r="D14" s="11"/>
      <c r="E14" s="12"/>
      <c r="F14" s="9"/>
      <c r="G14" s="9" t="str">
        <f aca="true">IF(OR(C14="",B14=""),"",TODAY()-B14)</f>
        <v/>
      </c>
      <c r="H14" s="12"/>
      <c r="I14" s="11"/>
    </row>
    <row r="15" customFormat="false" ht="15" hidden="false" customHeight="false" outlineLevel="0" collapsed="false">
      <c r="A15" s="5" t="str">
        <f aca="false">IF(C15="","",ROW()-5+1)</f>
        <v/>
      </c>
      <c r="B15" s="6"/>
      <c r="C15" s="7"/>
      <c r="D15" s="7"/>
      <c r="E15" s="8"/>
      <c r="F15" s="5"/>
      <c r="G15" s="5" t="str">
        <f aca="true">IF(OR(C15="",B15=""),"",TODAY()-B15)</f>
        <v/>
      </c>
      <c r="H15" s="8"/>
      <c r="I15" s="7"/>
    </row>
    <row r="16" customFormat="false" ht="15" hidden="false" customHeight="false" outlineLevel="0" collapsed="false">
      <c r="A16" s="9" t="str">
        <f aca="false">IF(C16="","",ROW()-5+1)</f>
        <v/>
      </c>
      <c r="B16" s="10"/>
      <c r="C16" s="11"/>
      <c r="D16" s="11"/>
      <c r="E16" s="12"/>
      <c r="F16" s="9"/>
      <c r="G16" s="9" t="str">
        <f aca="true">IF(OR(C16="",B16=""),"",TODAY()-B16)</f>
        <v/>
      </c>
      <c r="H16" s="12"/>
      <c r="I16" s="11"/>
    </row>
    <row r="17" customFormat="false" ht="15" hidden="false" customHeight="false" outlineLevel="0" collapsed="false">
      <c r="A17" s="5" t="str">
        <f aca="false">IF(C17="","",ROW()-5+1)</f>
        <v/>
      </c>
      <c r="B17" s="6"/>
      <c r="C17" s="7"/>
      <c r="D17" s="7"/>
      <c r="E17" s="8"/>
      <c r="F17" s="5"/>
      <c r="G17" s="5" t="str">
        <f aca="true">IF(OR(C17="",B17=""),"",TODAY()-B17)</f>
        <v/>
      </c>
      <c r="H17" s="8"/>
      <c r="I17" s="7"/>
    </row>
    <row r="18" customFormat="false" ht="15" hidden="false" customHeight="false" outlineLevel="0" collapsed="false">
      <c r="A18" s="9" t="str">
        <f aca="false">IF(C18="","",ROW()-5+1)</f>
        <v/>
      </c>
      <c r="B18" s="10"/>
      <c r="C18" s="11"/>
      <c r="D18" s="11"/>
      <c r="E18" s="12"/>
      <c r="F18" s="9"/>
      <c r="G18" s="9" t="str">
        <f aca="true">IF(OR(C18="",B18=""),"",TODAY()-B18)</f>
        <v/>
      </c>
      <c r="H18" s="12"/>
      <c r="I18" s="11"/>
    </row>
    <row r="19" customFormat="false" ht="15" hidden="false" customHeight="false" outlineLevel="0" collapsed="false">
      <c r="A19" s="5" t="str">
        <f aca="false">IF(C19="","",ROW()-5+1)</f>
        <v/>
      </c>
      <c r="B19" s="6"/>
      <c r="C19" s="7"/>
      <c r="D19" s="7"/>
      <c r="E19" s="8"/>
      <c r="F19" s="5"/>
      <c r="G19" s="5" t="str">
        <f aca="true">IF(OR(C19="",B19=""),"",TODAY()-B19)</f>
        <v/>
      </c>
      <c r="H19" s="8"/>
      <c r="I19" s="7"/>
    </row>
    <row r="20" customFormat="false" ht="15" hidden="false" customHeight="false" outlineLevel="0" collapsed="false">
      <c r="A20" s="9" t="str">
        <f aca="false">IF(C20="","",ROW()-5+1)</f>
        <v/>
      </c>
      <c r="B20" s="10"/>
      <c r="C20" s="11"/>
      <c r="D20" s="11"/>
      <c r="E20" s="12"/>
      <c r="F20" s="9"/>
      <c r="G20" s="9" t="str">
        <f aca="true">IF(OR(C20="",B20=""),"",TODAY()-B20)</f>
        <v/>
      </c>
      <c r="H20" s="12"/>
      <c r="I20" s="11"/>
    </row>
    <row r="21" customFormat="false" ht="15" hidden="false" customHeight="false" outlineLevel="0" collapsed="false">
      <c r="A21" s="5" t="str">
        <f aca="false">IF(C21="","",ROW()-5+1)</f>
        <v/>
      </c>
      <c r="B21" s="6"/>
      <c r="C21" s="7"/>
      <c r="D21" s="7"/>
      <c r="E21" s="8"/>
      <c r="F21" s="5"/>
      <c r="G21" s="5" t="str">
        <f aca="true">IF(OR(C21="",B21=""),"",TODAY()-B21)</f>
        <v/>
      </c>
      <c r="H21" s="8"/>
      <c r="I21" s="7"/>
    </row>
    <row r="22" customFormat="false" ht="15" hidden="false" customHeight="false" outlineLevel="0" collapsed="false">
      <c r="A22" s="9" t="str">
        <f aca="false">IF(C22="","",ROW()-5+1)</f>
        <v/>
      </c>
      <c r="B22" s="10"/>
      <c r="C22" s="11"/>
      <c r="D22" s="11"/>
      <c r="E22" s="12"/>
      <c r="F22" s="9"/>
      <c r="G22" s="9" t="str">
        <f aca="true">IF(OR(C22="",B22=""),"",TODAY()-B22)</f>
        <v/>
      </c>
      <c r="H22" s="12"/>
      <c r="I22" s="11"/>
    </row>
    <row r="23" customFormat="false" ht="15" hidden="false" customHeight="false" outlineLevel="0" collapsed="false">
      <c r="A23" s="5" t="str">
        <f aca="false">IF(C23="","",ROW()-5+1)</f>
        <v/>
      </c>
      <c r="B23" s="6"/>
      <c r="C23" s="7"/>
      <c r="D23" s="7"/>
      <c r="E23" s="8"/>
      <c r="F23" s="5"/>
      <c r="G23" s="5" t="str">
        <f aca="true">IF(OR(C23="",B23=""),"",TODAY()-B23)</f>
        <v/>
      </c>
      <c r="H23" s="8"/>
      <c r="I23" s="7"/>
    </row>
    <row r="24" customFormat="false" ht="15" hidden="false" customHeight="false" outlineLevel="0" collapsed="false">
      <c r="A24" s="9" t="str">
        <f aca="false">IF(C24="","",ROW()-5+1)</f>
        <v/>
      </c>
      <c r="B24" s="10"/>
      <c r="C24" s="11"/>
      <c r="D24" s="11"/>
      <c r="E24" s="12"/>
      <c r="F24" s="9"/>
      <c r="G24" s="9" t="str">
        <f aca="true">IF(OR(C24="",B24=""),"",TODAY()-B24)</f>
        <v/>
      </c>
      <c r="H24" s="12"/>
      <c r="I24" s="11"/>
    </row>
    <row r="25" customFormat="false" ht="15" hidden="false" customHeight="false" outlineLevel="0" collapsed="false">
      <c r="A25" s="5" t="str">
        <f aca="false">IF(C25="","",ROW()-5+1)</f>
        <v/>
      </c>
      <c r="B25" s="6"/>
      <c r="C25" s="7"/>
      <c r="D25" s="7"/>
      <c r="E25" s="8"/>
      <c r="F25" s="5"/>
      <c r="G25" s="5" t="str">
        <f aca="true">IF(OR(C25="",B25=""),"",TODAY()-B25)</f>
        <v/>
      </c>
      <c r="H25" s="8"/>
      <c r="I25" s="7"/>
    </row>
    <row r="26" customFormat="false" ht="15" hidden="false" customHeight="false" outlineLevel="0" collapsed="false">
      <c r="A26" s="9" t="str">
        <f aca="false">IF(C26="","",ROW()-5+1)</f>
        <v/>
      </c>
      <c r="B26" s="10"/>
      <c r="C26" s="11"/>
      <c r="D26" s="11"/>
      <c r="E26" s="12"/>
      <c r="F26" s="9"/>
      <c r="G26" s="9" t="str">
        <f aca="true">IF(OR(C26="",B26=""),"",TODAY()-B26)</f>
        <v/>
      </c>
      <c r="H26" s="12"/>
      <c r="I26" s="11"/>
    </row>
    <row r="27" customFormat="false" ht="15" hidden="false" customHeight="false" outlineLevel="0" collapsed="false">
      <c r="A27" s="5" t="str">
        <f aca="false">IF(C27="","",ROW()-5+1)</f>
        <v/>
      </c>
      <c r="B27" s="6"/>
      <c r="C27" s="7"/>
      <c r="D27" s="7"/>
      <c r="E27" s="8"/>
      <c r="F27" s="5"/>
      <c r="G27" s="5" t="str">
        <f aca="true">IF(OR(C27="",B27=""),"",TODAY()-B27)</f>
        <v/>
      </c>
      <c r="H27" s="8"/>
      <c r="I27" s="7"/>
    </row>
    <row r="28" customFormat="false" ht="15" hidden="false" customHeight="false" outlineLevel="0" collapsed="false">
      <c r="A28" s="9" t="str">
        <f aca="false">IF(C28="","",ROW()-5+1)</f>
        <v/>
      </c>
      <c r="B28" s="10"/>
      <c r="C28" s="11"/>
      <c r="D28" s="11"/>
      <c r="E28" s="12"/>
      <c r="F28" s="9"/>
      <c r="G28" s="9" t="str">
        <f aca="true">IF(OR(C28="",B28=""),"",TODAY()-B28)</f>
        <v/>
      </c>
      <c r="H28" s="12"/>
      <c r="I28" s="11"/>
    </row>
    <row r="29" customFormat="false" ht="15" hidden="false" customHeight="false" outlineLevel="0" collapsed="false">
      <c r="A29" s="5" t="str">
        <f aca="false">IF(C29="","",ROW()-5+1)</f>
        <v/>
      </c>
      <c r="B29" s="6"/>
      <c r="C29" s="7"/>
      <c r="D29" s="7"/>
      <c r="E29" s="8"/>
      <c r="F29" s="5"/>
      <c r="G29" s="5" t="str">
        <f aca="true">IF(OR(C29="",B29=""),"",TODAY()-B29)</f>
        <v/>
      </c>
      <c r="H29" s="8"/>
      <c r="I29" s="7"/>
    </row>
    <row r="30" customFormat="false" ht="15" hidden="false" customHeight="false" outlineLevel="0" collapsed="false">
      <c r="A30" s="9" t="str">
        <f aca="false">IF(C30="","",ROW()-5+1)</f>
        <v/>
      </c>
      <c r="B30" s="10"/>
      <c r="C30" s="11"/>
      <c r="D30" s="11"/>
      <c r="E30" s="12"/>
      <c r="F30" s="9"/>
      <c r="G30" s="9" t="str">
        <f aca="true">IF(OR(C30="",B30=""),"",TODAY()-B30)</f>
        <v/>
      </c>
      <c r="H30" s="12"/>
      <c r="I30" s="11"/>
    </row>
    <row r="31" customFormat="false" ht="15" hidden="false" customHeight="false" outlineLevel="0" collapsed="false">
      <c r="A31" s="5" t="str">
        <f aca="false">IF(C31="","",ROW()-5+1)</f>
        <v/>
      </c>
      <c r="B31" s="6"/>
      <c r="C31" s="7"/>
      <c r="D31" s="7"/>
      <c r="E31" s="8"/>
      <c r="F31" s="5"/>
      <c r="G31" s="5" t="str">
        <f aca="true">IF(OR(C31="",B31=""),"",TODAY()-B31)</f>
        <v/>
      </c>
      <c r="H31" s="8"/>
      <c r="I31" s="7"/>
    </row>
    <row r="32" customFormat="false" ht="15" hidden="false" customHeight="false" outlineLevel="0" collapsed="false">
      <c r="A32" s="9" t="str">
        <f aca="false">IF(C32="","",ROW()-5+1)</f>
        <v/>
      </c>
      <c r="B32" s="10"/>
      <c r="C32" s="11"/>
      <c r="D32" s="11"/>
      <c r="E32" s="12"/>
      <c r="F32" s="9"/>
      <c r="G32" s="9" t="str">
        <f aca="true">IF(OR(C32="",B32=""),"",TODAY()-B32)</f>
        <v/>
      </c>
      <c r="H32" s="12"/>
      <c r="I32" s="11"/>
    </row>
    <row r="33" customFormat="false" ht="15" hidden="false" customHeight="false" outlineLevel="0" collapsed="false">
      <c r="A33" s="5" t="str">
        <f aca="false">IF(C33="","",ROW()-5+1)</f>
        <v/>
      </c>
      <c r="B33" s="6"/>
      <c r="C33" s="7"/>
      <c r="D33" s="7"/>
      <c r="E33" s="8"/>
      <c r="F33" s="5"/>
      <c r="G33" s="5" t="str">
        <f aca="true">IF(OR(C33="",B33=""),"",TODAY()-B33)</f>
        <v/>
      </c>
      <c r="H33" s="8"/>
      <c r="I33" s="7"/>
    </row>
    <row r="34" customFormat="false" ht="15" hidden="false" customHeight="false" outlineLevel="0" collapsed="false">
      <c r="A34" s="9" t="str">
        <f aca="false">IF(C34="","",ROW()-5+1)</f>
        <v/>
      </c>
      <c r="B34" s="10"/>
      <c r="C34" s="11"/>
      <c r="D34" s="11"/>
      <c r="E34" s="12"/>
      <c r="F34" s="9"/>
      <c r="G34" s="9" t="str">
        <f aca="true">IF(OR(C34="",B34=""),"",TODAY()-B34)</f>
        <v/>
      </c>
      <c r="H34" s="12"/>
      <c r="I34" s="11"/>
    </row>
    <row r="35" customFormat="false" ht="15" hidden="false" customHeight="false" outlineLevel="0" collapsed="false">
      <c r="A35" s="5" t="str">
        <f aca="false">IF(C35="","",ROW()-5+1)</f>
        <v/>
      </c>
      <c r="B35" s="6"/>
      <c r="C35" s="7"/>
      <c r="D35" s="7"/>
      <c r="E35" s="8"/>
      <c r="F35" s="5"/>
      <c r="G35" s="5" t="str">
        <f aca="true">IF(OR(C35="",B35=""),"",TODAY()-B35)</f>
        <v/>
      </c>
      <c r="H35" s="8"/>
      <c r="I35" s="7"/>
    </row>
    <row r="36" customFormat="false" ht="15" hidden="false" customHeight="false" outlineLevel="0" collapsed="false">
      <c r="A36" s="9" t="str">
        <f aca="false">IF(C36="","",ROW()-5+1)</f>
        <v/>
      </c>
      <c r="B36" s="10"/>
      <c r="C36" s="11"/>
      <c r="D36" s="11"/>
      <c r="E36" s="12"/>
      <c r="F36" s="9"/>
      <c r="G36" s="9" t="str">
        <f aca="true">IF(OR(C36="",B36=""),"",TODAY()-B36)</f>
        <v/>
      </c>
      <c r="H36" s="12"/>
      <c r="I36" s="11"/>
    </row>
    <row r="37" customFormat="false" ht="15" hidden="false" customHeight="false" outlineLevel="0" collapsed="false">
      <c r="A37" s="5" t="str">
        <f aca="false">IF(C37="","",ROW()-5+1)</f>
        <v/>
      </c>
      <c r="B37" s="6"/>
      <c r="C37" s="7"/>
      <c r="D37" s="7"/>
      <c r="E37" s="8"/>
      <c r="F37" s="5"/>
      <c r="G37" s="5" t="str">
        <f aca="true">IF(OR(C37="",B37=""),"",TODAY()-B37)</f>
        <v/>
      </c>
      <c r="H37" s="8"/>
      <c r="I37" s="7"/>
    </row>
    <row r="38" customFormat="false" ht="15" hidden="false" customHeight="false" outlineLevel="0" collapsed="false">
      <c r="A38" s="9" t="str">
        <f aca="false">IF(C38="","",ROW()-5+1)</f>
        <v/>
      </c>
      <c r="B38" s="10"/>
      <c r="C38" s="11"/>
      <c r="D38" s="11"/>
      <c r="E38" s="12"/>
      <c r="F38" s="9"/>
      <c r="G38" s="9" t="str">
        <f aca="true">IF(OR(C38="",B38=""),"",TODAY()-B38)</f>
        <v/>
      </c>
      <c r="H38" s="12"/>
      <c r="I38" s="11"/>
    </row>
    <row r="39" customFormat="false" ht="15" hidden="false" customHeight="false" outlineLevel="0" collapsed="false">
      <c r="A39" s="5" t="str">
        <f aca="false">IF(C39="","",ROW()-5+1)</f>
        <v/>
      </c>
      <c r="B39" s="6"/>
      <c r="C39" s="7"/>
      <c r="D39" s="7"/>
      <c r="E39" s="8"/>
      <c r="F39" s="5"/>
      <c r="G39" s="5" t="str">
        <f aca="true">IF(OR(C39="",B39=""),"",TODAY()-B39)</f>
        <v/>
      </c>
      <c r="H39" s="8"/>
      <c r="I39" s="7"/>
    </row>
    <row r="40" customFormat="false" ht="15" hidden="false" customHeight="false" outlineLevel="0" collapsed="false">
      <c r="A40" s="9" t="str">
        <f aca="false">IF(C40="","",ROW()-5+1)</f>
        <v/>
      </c>
      <c r="B40" s="10"/>
      <c r="C40" s="11"/>
      <c r="D40" s="11"/>
      <c r="E40" s="12"/>
      <c r="F40" s="9"/>
      <c r="G40" s="9" t="str">
        <f aca="true">IF(OR(C40="",B40=""),"",TODAY()-B40)</f>
        <v/>
      </c>
      <c r="H40" s="12"/>
      <c r="I40" s="11"/>
    </row>
    <row r="42" customFormat="false" ht="19.5" hidden="false" customHeight="true" outlineLevel="0" collapsed="false">
      <c r="A42" s="13" t="s">
        <v>11</v>
      </c>
      <c r="B42" s="13"/>
      <c r="C42" s="13"/>
      <c r="D42" s="13"/>
      <c r="E42" s="13"/>
      <c r="F42" s="13"/>
      <c r="G42" s="13"/>
      <c r="H42" s="13"/>
      <c r="I42" s="13"/>
    </row>
    <row r="43" customFormat="false" ht="15" hidden="false" customHeight="false" outlineLevel="0" collapsed="false">
      <c r="A43" s="14" t="s">
        <v>12</v>
      </c>
      <c r="B43" s="14" t="s">
        <v>13</v>
      </c>
      <c r="C43" s="14" t="s">
        <v>14</v>
      </c>
      <c r="D43" s="14" t="s">
        <v>15</v>
      </c>
      <c r="E43" s="14" t="s">
        <v>16</v>
      </c>
      <c r="F43" s="14" t="s">
        <v>17</v>
      </c>
    </row>
    <row r="44" customFormat="false" ht="15" hidden="false" customHeight="false" outlineLevel="0" collapsed="false">
      <c r="A44" s="15" t="n">
        <f aca="false">COUNTIF(F5:F40,"Available")</f>
        <v>0</v>
      </c>
      <c r="B44" s="15" t="n">
        <f aca="false">COUNTIF(F5:F40,"Unlisted")</f>
        <v>0</v>
      </c>
      <c r="C44" s="15" t="n">
        <f aca="false">COUNTIF(F5:F40,"In Repair")</f>
        <v>0</v>
      </c>
      <c r="D44" s="15" t="n">
        <f aca="false">COUNTIF(F5:F40,"Reserved")</f>
        <v>0</v>
      </c>
      <c r="E44" s="15" t="n">
        <f aca="false">COUNTIF(F5:F40,"Sold")</f>
        <v>0</v>
      </c>
      <c r="F44" s="15" t="n">
        <f aca="false">COUNTIF(C5:C40,"?*")-COUNTIF(F5:F40,"Sold")</f>
        <v>0</v>
      </c>
    </row>
    <row r="46" customFormat="false" ht="15" hidden="false" customHeight="false" outlineLevel="0" collapsed="false">
      <c r="A46" s="16" t="s">
        <v>18</v>
      </c>
      <c r="B46" s="16"/>
      <c r="C46" s="16"/>
      <c r="D46" s="16"/>
      <c r="E46" s="16"/>
      <c r="F46" s="16"/>
      <c r="G46" s="16"/>
      <c r="H46" s="16"/>
      <c r="I46" s="16"/>
    </row>
    <row r="47" customFormat="false" ht="15" hidden="false" customHeight="false" outlineLevel="0" collapsed="false">
      <c r="A47" s="17" t="s">
        <v>19</v>
      </c>
      <c r="B47" s="17"/>
      <c r="C47" s="17"/>
      <c r="D47" s="17"/>
      <c r="E47" s="17"/>
      <c r="F47" s="17"/>
      <c r="G47" s="17"/>
      <c r="H47" s="17"/>
      <c r="I47" s="17"/>
    </row>
    <row r="48" customFormat="false" ht="15" hidden="false" customHeight="false" outlineLevel="0" collapsed="false">
      <c r="A48" s="17" t="s">
        <v>20</v>
      </c>
      <c r="B48" s="17"/>
      <c r="C48" s="17"/>
      <c r="D48" s="17"/>
      <c r="E48" s="17"/>
      <c r="F48" s="17"/>
      <c r="G48" s="17"/>
      <c r="H48" s="17"/>
      <c r="I48" s="17"/>
    </row>
    <row r="49" customFormat="false" ht="15" hidden="false" customHeight="false" outlineLevel="0" collapsed="false">
      <c r="A49" s="17" t="s">
        <v>21</v>
      </c>
      <c r="B49" s="17"/>
      <c r="C49" s="17"/>
      <c r="D49" s="17"/>
      <c r="E49" s="17"/>
      <c r="F49" s="17"/>
      <c r="G49" s="17"/>
      <c r="H49" s="17"/>
      <c r="I49" s="17"/>
    </row>
    <row r="50" customFormat="false" ht="15" hidden="false" customHeight="false" outlineLevel="0" collapsed="false">
      <c r="A50" s="17" t="s">
        <v>22</v>
      </c>
      <c r="B50" s="17"/>
      <c r="C50" s="17"/>
      <c r="D50" s="17"/>
      <c r="E50" s="17"/>
      <c r="F50" s="17"/>
      <c r="G50" s="17"/>
      <c r="H50" s="17"/>
      <c r="I50" s="17"/>
    </row>
    <row r="51" customFormat="false" ht="15" hidden="false" customHeight="false" outlineLevel="0" collapsed="false">
      <c r="A51" s="17" t="s">
        <v>23</v>
      </c>
      <c r="B51" s="17"/>
      <c r="C51" s="17"/>
      <c r="D51" s="17"/>
      <c r="E51" s="17"/>
      <c r="F51" s="17"/>
      <c r="G51" s="17"/>
      <c r="H51" s="17"/>
      <c r="I51" s="17"/>
    </row>
  </sheetData>
  <autoFilter ref="A4:I40"/>
  <mergeCells count="9">
    <mergeCell ref="A1:I1"/>
    <mergeCell ref="A2:I2"/>
    <mergeCell ref="A42:I42"/>
    <mergeCell ref="A46:I46"/>
    <mergeCell ref="A47:I47"/>
    <mergeCell ref="A48:I48"/>
    <mergeCell ref="A49:I49"/>
    <mergeCell ref="A50:I50"/>
    <mergeCell ref="A51:I51"/>
  </mergeCells>
  <conditionalFormatting sqref="F5:F40">
    <cfRule type="expression" priority="2" aboveAverage="0" equalAverage="0" bottom="0" percent="0" rank="0" text="" dxfId="4">
      <formula>$F5="Available"</formula>
    </cfRule>
    <cfRule type="expression" priority="3" aboveAverage="0" equalAverage="0" bottom="0" percent="0" rank="0" text="" dxfId="5">
      <formula>$F5="Reserved"</formula>
    </cfRule>
    <cfRule type="expression" priority="4" aboveAverage="0" equalAverage="0" bottom="0" percent="0" rank="0" text="" dxfId="6">
      <formula>$F5="In Repair"</formula>
    </cfRule>
    <cfRule type="expression" priority="5" aboveAverage="0" equalAverage="0" bottom="0" percent="0" rank="0" text="" dxfId="7">
      <formula>$F5="Unlisted"</formula>
    </cfRule>
    <cfRule type="expression" priority="6" aboveAverage="0" equalAverage="0" bottom="0" percent="0" rank="0" text="" dxfId="8">
      <formula>$F5="Sold"</formula>
    </cfRule>
  </conditionalFormatting>
  <dataValidations count="1">
    <dataValidation allowBlank="true" error="Choose a status from the list." errorStyle="stop" errorTitle="Invalid Status" operator="between" showDropDown="false" showErrorMessage="false" showInputMessage="false" sqref="F5:F40" type="list">
      <formula1>"Available,Unlisted,In Repair,Reserved,Sold"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2026-08-16T09:46:43Z</dcterms:created>
  <dc:creator>openpyxl</dc:creator>
  <dc:description/>
  <dc:language>en-US</dc:language>
  <cp:lastModifiedBy/>
  <dcterms:modified xsi:type="dcterms:W3CDTF">2026-08-16T09:46:43Z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