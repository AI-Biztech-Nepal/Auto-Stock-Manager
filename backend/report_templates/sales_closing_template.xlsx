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Closing" sheetId="1" state="visible" r:id="rId3"/>
  </sheets>
  <definedNames>
    <definedName function="false" hidden="true" localSheetId="0" name="_xlnm._FilterDatabase" vbProcedure="false">'Sales Closing'!$A$4:$J$35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<sst xmlns="http://schemas.openxmlformats.org/spreadsheetml/2006/main" count="18" uniqueCount="18">
  <si>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G&amp;G AUTO — MONTHLY SALES CLOSING REPORT</t>
  </si>
  <si>
    <t xml:space="preserve">Report Month:  [Enter Month, Year]        Prepared By:  [Name]        Date Prepared:  [Date]</t>
  </si>
  <si>
    <t xml:space="preserve">S.N.</t>
  </si>
  <si>
    <t xml:space="preserve">Date Sold</t>
  </si>
  <si>
    <t xml:space="preserve">Bike Model / Name</t>
  </si>
  <si>
    <t xml:space="preserve">Customer Name</t>
  </si>
  <si>
    <t xml:space="preserve">Customer Phone</t>
  </si>
  <si>
    <t xml:space="preserve">Selling Price (Rs.)</t>
  </si>
  <si>
    <t xml:space="preserve">Extra Expense (Rs.)</t>
  </si>
  <si>
    <t xml:space="preserve">Remaining Due (Rs.)</t>
  </si>
  <si>
    <t xml:space="preserve">Net Received (Rs.)</t>
  </si>
  <si>
    <t xml:space="preserve">Status</t>
  </si>
  <si>
    <t xml:space="preserve">TOTAL</t>
  </si>
  <si>
    <t xml:space="preserve">Legend:</t>
  </si>
  <si>
    <t xml:space="preserve">• Enter data only in columns B–E (Date, Bike Model, Customer Name, Phone), F (Selling Price), G (Extra Expense), H (Remaining Due).</t>
  </si>
  <si>
    <t xml:space="preserve">• Columns A, I, J calculate automatically — do not type into them.</t>
  </si>
  <si>
    <t xml:space="preserve">• Extra Expense = repair/paperwork/transport cost incurred on that bike before sale, not part of what the customer owes.</t>
  </si>
  <si>
    <t xml:space="preserve">• Remaining Due = amount the customer still owes; enter 0 once fully paid — Status auto-switches to "Paid".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</si>
</sst>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E5E7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74151"/>
      <name val="Arial"/>
      <family val="0"/>
      <charset val="1"/>
    </font>
    <font>
      <sz val="9"/>
      <color rgb="FF37415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C9922C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ont>
        <b val="1"/>
        <color rgb="FF1E7B34"/>
      </font>
      <fill>
        <patternFill>
          <bgColor rgb="FFDCFCE7"/>
        </patternFill>
      </fill>
    </dxf>
    <dxf>
      <font>
        <b val="1"/>
        <color rgb="FFB3261E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C9922C"/>
      <rgbColor rgb="FFFF6600"/>
      <rgbColor rgb="FF666699"/>
      <rgbColor rgb="FF969696"/>
      <rgbColor rgb="FF003366"/>
      <rgbColor rgb="FF339966"/>
      <rgbColor rgb="FF111827"/>
      <rgbColor rgb="FF333300"/>
      <rgbColor rgb="FFB3261E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9" min="8" style="0" width="16"/>
    <col collapsed="false" customWidth="true" hidden="false" outlineLevel="0" max="10" min="10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tr">
        <f aca="false">IF(C5="","",ROW()-5+1)</f>
        <v/>
      </c>
      <c r="B5" s="6"/>
      <c r="C5" s="7"/>
      <c r="D5" s="7"/>
      <c r="E5" s="5"/>
      <c r="F5" s="8"/>
      <c r="G5" s="8"/>
      <c r="H5" s="8"/>
      <c r="I5" s="8" t="str">
        <f aca="false">IF(C5="","",F5-H5)</f>
        <v/>
      </c>
      <c r="J5" s="5" t="str">
        <f aca="false">IF(C5="","",IF(H5=0,"Paid","Due"))</f>
        <v/>
      </c>
    </row>
    <row r="6" customFormat="false" ht="15" hidden="false" customHeight="false" outlineLevel="0" collapsed="false">
      <c r="A6" s="9" t="str">
        <f aca="false">IF(C6="","",ROW()-5+1)</f>
        <v/>
      </c>
      <c r="B6" s="10"/>
      <c r="C6" s="11"/>
      <c r="D6" s="11"/>
      <c r="E6" s="9"/>
      <c r="F6" s="12"/>
      <c r="G6" s="12"/>
      <c r="H6" s="12"/>
      <c r="I6" s="12" t="str">
        <f aca="false">IF(C6="","",F6-H6)</f>
        <v/>
      </c>
      <c r="J6" s="9" t="str">
        <f aca="false">IF(C6="","",IF(H6=0,"Paid","Due"))</f>
        <v/>
      </c>
    </row>
    <row r="7" customFormat="false" ht="15" hidden="false" customHeight="false" outlineLevel="0" collapsed="false">
      <c r="A7" s="5" t="str">
        <f aca="false">IF(C7="","",ROW()-5+1)</f>
        <v/>
      </c>
      <c r="B7" s="6"/>
      <c r="C7" s="7"/>
      <c r="D7" s="7"/>
      <c r="E7" s="5"/>
      <c r="F7" s="8"/>
      <c r="G7" s="8"/>
      <c r="H7" s="8"/>
      <c r="I7" s="8" t="str">
        <f aca="false">IF(C7="","",F7-H7)</f>
        <v/>
      </c>
      <c r="J7" s="5" t="str">
        <f aca="false">IF(C7="","",IF(H7=0,"Paid","Due"))</f>
        <v/>
      </c>
    </row>
    <row r="8" customFormat="false" ht="15" hidden="false" customHeight="false" outlineLevel="0" collapsed="false">
      <c r="A8" s="9" t="str">
        <f aca="false">IF(C8="","",ROW()-5+1)</f>
        <v/>
      </c>
      <c r="B8" s="10"/>
      <c r="C8" s="11"/>
      <c r="D8" s="11"/>
      <c r="E8" s="9"/>
      <c r="F8" s="12"/>
      <c r="G8" s="12"/>
      <c r="H8" s="12"/>
      <c r="I8" s="12" t="str">
        <f aca="false">IF(C8="","",F8-H8)</f>
        <v/>
      </c>
      <c r="J8" s="9" t="str">
        <f aca="false">IF(C8="","",IF(H8=0,"Paid","Due"))</f>
        <v/>
      </c>
    </row>
    <row r="9" customFormat="false" ht="15" hidden="false" customHeight="false" outlineLevel="0" collapsed="false">
      <c r="A9" s="5" t="str">
        <f aca="false">IF(C9="","",ROW()-5+1)</f>
        <v/>
      </c>
      <c r="B9" s="6"/>
      <c r="C9" s="7"/>
      <c r="D9" s="7"/>
      <c r="E9" s="5"/>
      <c r="F9" s="8"/>
      <c r="G9" s="8"/>
      <c r="H9" s="8"/>
      <c r="I9" s="8" t="str">
        <f aca="false">IF(C9="","",F9-H9)</f>
        <v/>
      </c>
      <c r="J9" s="5" t="str">
        <f aca="false">IF(C9="","",IF(H9=0,"Paid","Due"))</f>
        <v/>
      </c>
    </row>
    <row r="10" customFormat="false" ht="15" hidden="false" customHeight="false" outlineLevel="0" collapsed="false">
      <c r="A10" s="9" t="str">
        <f aca="false">IF(C10="","",ROW()-5+1)</f>
        <v/>
      </c>
      <c r="B10" s="10"/>
      <c r="C10" s="11"/>
      <c r="D10" s="11"/>
      <c r="E10" s="9"/>
      <c r="F10" s="12"/>
      <c r="G10" s="12"/>
      <c r="H10" s="12"/>
      <c r="I10" s="12" t="str">
        <f aca="false">IF(C10="","",F10-H10)</f>
        <v/>
      </c>
      <c r="J10" s="9" t="str">
        <f aca="false">IF(C10="","",IF(H10=0,"Paid","Due"))</f>
        <v/>
      </c>
    </row>
    <row r="11" customFormat="false" ht="15" hidden="false" customHeight="false" outlineLevel="0" collapsed="false">
      <c r="A11" s="5" t="str">
        <f aca="false">IF(C11="","",ROW()-5+1)</f>
        <v/>
      </c>
      <c r="B11" s="6"/>
      <c r="C11" s="7"/>
      <c r="D11" s="7"/>
      <c r="E11" s="5"/>
      <c r="F11" s="8"/>
      <c r="G11" s="8"/>
      <c r="H11" s="8"/>
      <c r="I11" s="8" t="str">
        <f aca="false">IF(C11="","",F11-H11)</f>
        <v/>
      </c>
      <c r="J11" s="5" t="str">
        <f aca="false">IF(C11="","",IF(H11=0,"Paid","Due"))</f>
        <v/>
      </c>
    </row>
    <row r="12" customFormat="false" ht="15" hidden="false" customHeight="false" outlineLevel="0" collapsed="false">
      <c r="A12" s="9" t="str">
        <f aca="false">IF(C12="","",ROW()-5+1)</f>
        <v/>
      </c>
      <c r="B12" s="10"/>
      <c r="C12" s="11"/>
      <c r="D12" s="11"/>
      <c r="E12" s="9"/>
      <c r="F12" s="12"/>
      <c r="G12" s="12"/>
      <c r="H12" s="12"/>
      <c r="I12" s="12" t="str">
        <f aca="false">IF(C12="","",F12-H12)</f>
        <v/>
      </c>
      <c r="J12" s="9" t="str">
        <f aca="false">IF(C12="","",IF(H12=0,"Paid","Due"))</f>
        <v/>
      </c>
    </row>
    <row r="13" customFormat="false" ht="15" hidden="false" customHeight="false" outlineLevel="0" collapsed="false">
      <c r="A13" s="5" t="str">
        <f aca="false">IF(C13="","",ROW()-5+1)</f>
        <v/>
      </c>
      <c r="B13" s="6"/>
      <c r="C13" s="7"/>
      <c r="D13" s="7"/>
      <c r="E13" s="5"/>
      <c r="F13" s="8"/>
      <c r="G13" s="8"/>
      <c r="H13" s="8"/>
      <c r="I13" s="8" t="str">
        <f aca="false">IF(C13="","",F13-H13)</f>
        <v/>
      </c>
      <c r="J13" s="5" t="str">
        <f aca="false">IF(C13="","",IF(H13=0,"Paid","Due"))</f>
        <v/>
      </c>
    </row>
    <row r="14" customFormat="false" ht="15" hidden="false" customHeight="false" outlineLevel="0" collapsed="false">
      <c r="A14" s="9" t="str">
        <f aca="false">IF(C14="","",ROW()-5+1)</f>
        <v/>
      </c>
      <c r="B14" s="10"/>
      <c r="C14" s="11"/>
      <c r="D14" s="11"/>
      <c r="E14" s="9"/>
      <c r="F14" s="12"/>
      <c r="G14" s="12"/>
      <c r="H14" s="12"/>
      <c r="I14" s="12" t="str">
        <f aca="false">IF(C14="","",F14-H14)</f>
        <v/>
      </c>
      <c r="J14" s="9" t="str">
        <f aca="false">IF(C14="","",IF(H14=0,"Paid","Due"))</f>
        <v/>
      </c>
    </row>
    <row r="15" customFormat="false" ht="15" hidden="false" customHeight="false" outlineLevel="0" collapsed="false">
      <c r="A15" s="5" t="str">
        <f aca="false">IF(C15="","",ROW()-5+1)</f>
        <v/>
      </c>
      <c r="B15" s="6"/>
      <c r="C15" s="7"/>
      <c r="D15" s="7"/>
      <c r="E15" s="5"/>
      <c r="F15" s="8"/>
      <c r="G15" s="8"/>
      <c r="H15" s="8"/>
      <c r="I15" s="8" t="str">
        <f aca="false">IF(C15="","",F15-H15)</f>
        <v/>
      </c>
      <c r="J15" s="5" t="str">
        <f aca="false">IF(C15="","",IF(H15=0,"Paid","Due"))</f>
        <v/>
      </c>
    </row>
    <row r="16" customFormat="false" ht="15" hidden="false" customHeight="false" outlineLevel="0" collapsed="false">
      <c r="A16" s="9" t="str">
        <f aca="false">IF(C16="","",ROW()-5+1)</f>
        <v/>
      </c>
      <c r="B16" s="10"/>
      <c r="C16" s="11"/>
      <c r="D16" s="11"/>
      <c r="E16" s="9"/>
      <c r="F16" s="12"/>
      <c r="G16" s="12"/>
      <c r="H16" s="12"/>
      <c r="I16" s="12" t="str">
        <f aca="false">IF(C16="","",F16-H16)</f>
        <v/>
      </c>
      <c r="J16" s="9" t="str">
        <f aca="false">IF(C16="","",IF(H16=0,"Paid","Due"))</f>
        <v/>
      </c>
    </row>
    <row r="17" customFormat="false" ht="15" hidden="false" customHeight="false" outlineLevel="0" collapsed="false">
      <c r="A17" s="5" t="str">
        <f aca="false">IF(C17="","",ROW()-5+1)</f>
        <v/>
      </c>
      <c r="B17" s="6"/>
      <c r="C17" s="7"/>
      <c r="D17" s="7"/>
      <c r="E17" s="5"/>
      <c r="F17" s="8"/>
      <c r="G17" s="8"/>
      <c r="H17" s="8"/>
      <c r="I17" s="8" t="str">
        <f aca="false">IF(C17="","",F17-H17)</f>
        <v/>
      </c>
      <c r="J17" s="5" t="str">
        <f aca="false">IF(C17="","",IF(H17=0,"Paid","Due"))</f>
        <v/>
      </c>
    </row>
    <row r="18" customFormat="false" ht="15" hidden="false" customHeight="false" outlineLevel="0" collapsed="false">
      <c r="A18" s="9" t="str">
        <f aca="false">IF(C18="","",ROW()-5+1)</f>
        <v/>
      </c>
      <c r="B18" s="10"/>
      <c r="C18" s="11"/>
      <c r="D18" s="11"/>
      <c r="E18" s="9"/>
      <c r="F18" s="12"/>
      <c r="G18" s="12"/>
      <c r="H18" s="12"/>
      <c r="I18" s="12" t="str">
        <f aca="false">IF(C18="","",F18-H18)</f>
        <v/>
      </c>
      <c r="J18" s="9" t="str">
        <f aca="false">IF(C18="","",IF(H18=0,"Paid","Due"))</f>
        <v/>
      </c>
    </row>
    <row r="19" customFormat="false" ht="15" hidden="false" customHeight="false" outlineLevel="0" collapsed="false">
      <c r="A19" s="5" t="str">
        <f aca="false">IF(C19="","",ROW()-5+1)</f>
        <v/>
      </c>
      <c r="B19" s="6"/>
      <c r="C19" s="7"/>
      <c r="D19" s="7"/>
      <c r="E19" s="5"/>
      <c r="F19" s="8"/>
      <c r="G19" s="8"/>
      <c r="H19" s="8"/>
      <c r="I19" s="8" t="str">
        <f aca="false">IF(C19="","",F19-H19)</f>
        <v/>
      </c>
      <c r="J19" s="5" t="str">
        <f aca="false">IF(C19="","",IF(H19=0,"Paid","Due"))</f>
        <v/>
      </c>
    </row>
    <row r="20" customFormat="false" ht="15" hidden="false" customHeight="false" outlineLevel="0" collapsed="false">
      <c r="A20" s="9" t="str">
        <f aca="false">IF(C20="","",ROW()-5+1)</f>
        <v/>
      </c>
      <c r="B20" s="10"/>
      <c r="C20" s="11"/>
      <c r="D20" s="11"/>
      <c r="E20" s="9"/>
      <c r="F20" s="12"/>
      <c r="G20" s="12"/>
      <c r="H20" s="12"/>
      <c r="I20" s="12" t="str">
        <f aca="false">IF(C20="","",F20-H20)</f>
        <v/>
      </c>
      <c r="J20" s="9" t="str">
        <f aca="false">IF(C20="","",IF(H20=0,"Paid","Due"))</f>
        <v/>
      </c>
    </row>
    <row r="21" customFormat="false" ht="15" hidden="false" customHeight="false" outlineLevel="0" collapsed="false">
      <c r="A21" s="5" t="str">
        <f aca="false">IF(C21="","",ROW()-5+1)</f>
        <v/>
      </c>
      <c r="B21" s="6"/>
      <c r="C21" s="7"/>
      <c r="D21" s="7"/>
      <c r="E21" s="5"/>
      <c r="F21" s="8"/>
      <c r="G21" s="8"/>
      <c r="H21" s="8"/>
      <c r="I21" s="8" t="str">
        <f aca="false">IF(C21="","",F21-H21)</f>
        <v/>
      </c>
      <c r="J21" s="5" t="str">
        <f aca="false">IF(C21="","",IF(H21=0,"Paid","Due"))</f>
        <v/>
      </c>
    </row>
    <row r="22" customFormat="false" ht="15" hidden="false" customHeight="false" outlineLevel="0" collapsed="false">
      <c r="A22" s="9" t="str">
        <f aca="false">IF(C22="","",ROW()-5+1)</f>
        <v/>
      </c>
      <c r="B22" s="10"/>
      <c r="C22" s="11"/>
      <c r="D22" s="11"/>
      <c r="E22" s="9"/>
      <c r="F22" s="12"/>
      <c r="G22" s="12"/>
      <c r="H22" s="12"/>
      <c r="I22" s="12" t="str">
        <f aca="false">IF(C22="","",F22-H22)</f>
        <v/>
      </c>
      <c r="J22" s="9" t="str">
        <f aca="false">IF(C22="","",IF(H22=0,"Paid","Due"))</f>
        <v/>
      </c>
    </row>
    <row r="23" customFormat="false" ht="15" hidden="false" customHeight="false" outlineLevel="0" collapsed="false">
      <c r="A23" s="5" t="str">
        <f aca="false">IF(C23="","",ROW()-5+1)</f>
        <v/>
      </c>
      <c r="B23" s="6"/>
      <c r="C23" s="7"/>
      <c r="D23" s="7"/>
      <c r="E23" s="5"/>
      <c r="F23" s="8"/>
      <c r="G23" s="8"/>
      <c r="H23" s="8"/>
      <c r="I23" s="8" t="str">
        <f aca="false">IF(C23="","",F23-H23)</f>
        <v/>
      </c>
      <c r="J23" s="5" t="str">
        <f aca="false">IF(C23="","",IF(H23=0,"Paid","Due"))</f>
        <v/>
      </c>
    </row>
    <row r="24" customFormat="false" ht="15" hidden="false" customHeight="false" outlineLevel="0" collapsed="false">
      <c r="A24" s="9" t="str">
        <f aca="false">IF(C24="","",ROW()-5+1)</f>
        <v/>
      </c>
      <c r="B24" s="10"/>
      <c r="C24" s="11"/>
      <c r="D24" s="11"/>
      <c r="E24" s="9"/>
      <c r="F24" s="12"/>
      <c r="G24" s="12"/>
      <c r="H24" s="12"/>
      <c r="I24" s="12" t="str">
        <f aca="false">IF(C24="","",F24-H24)</f>
        <v/>
      </c>
      <c r="J24" s="9" t="str">
        <f aca="false">IF(C24="","",IF(H24=0,"Paid","Due"))</f>
        <v/>
      </c>
    </row>
    <row r="25" customFormat="false" ht="15" hidden="false" customHeight="false" outlineLevel="0" collapsed="false">
      <c r="A25" s="5" t="str">
        <f aca="false">IF(C25="","",ROW()-5+1)</f>
        <v/>
      </c>
      <c r="B25" s="6"/>
      <c r="C25" s="7"/>
      <c r="D25" s="7"/>
      <c r="E25" s="5"/>
      <c r="F25" s="8"/>
      <c r="G25" s="8"/>
      <c r="H25" s="8"/>
      <c r="I25" s="8" t="str">
        <f aca="false">IF(C25="","",F25-H25)</f>
        <v/>
      </c>
      <c r="J25" s="5" t="str">
        <f aca="false">IF(C25="","",IF(H25=0,"Paid","Due"))</f>
        <v/>
      </c>
    </row>
    <row r="26" customFormat="false" ht="15" hidden="false" customHeight="false" outlineLevel="0" collapsed="false">
      <c r="A26" s="9" t="str">
        <f aca="false">IF(C26="","",ROW()-5+1)</f>
        <v/>
      </c>
      <c r="B26" s="10"/>
      <c r="C26" s="11"/>
      <c r="D26" s="11"/>
      <c r="E26" s="9"/>
      <c r="F26" s="12"/>
      <c r="G26" s="12"/>
      <c r="H26" s="12"/>
      <c r="I26" s="12" t="str">
        <f aca="false">IF(C26="","",F26-H26)</f>
        <v/>
      </c>
      <c r="J26" s="9" t="str">
        <f aca="false">IF(C26="","",IF(H26=0,"Paid","Due"))</f>
        <v/>
      </c>
    </row>
    <row r="27" customFormat="false" ht="15" hidden="false" customHeight="false" outlineLevel="0" collapsed="false">
      <c r="A27" s="5" t="str">
        <f aca="false">IF(C27="","",ROW()-5+1)</f>
        <v/>
      </c>
      <c r="B27" s="6"/>
      <c r="C27" s="7"/>
      <c r="D27" s="7"/>
      <c r="E27" s="5"/>
      <c r="F27" s="8"/>
      <c r="G27" s="8"/>
      <c r="H27" s="8"/>
      <c r="I27" s="8" t="str">
        <f aca="false">IF(C27="","",F27-H27)</f>
        <v/>
      </c>
      <c r="J27" s="5" t="str">
        <f aca="false">IF(C27="","",IF(H27=0,"Paid","Due"))</f>
        <v/>
      </c>
    </row>
    <row r="28" customFormat="false" ht="15" hidden="false" customHeight="false" outlineLevel="0" collapsed="false">
      <c r="A28" s="9" t="str">
        <f aca="false">IF(C28="","",ROW()-5+1)</f>
        <v/>
      </c>
      <c r="B28" s="10"/>
      <c r="C28" s="11"/>
      <c r="D28" s="11"/>
      <c r="E28" s="9"/>
      <c r="F28" s="12"/>
      <c r="G28" s="12"/>
      <c r="H28" s="12"/>
      <c r="I28" s="12" t="str">
        <f aca="false">IF(C28="","",F28-H28)</f>
        <v/>
      </c>
      <c r="J28" s="9" t="str">
        <f aca="false">IF(C28="","",IF(H28=0,"Paid","Due"))</f>
        <v/>
      </c>
    </row>
    <row r="29" customFormat="false" ht="15" hidden="false" customHeight="false" outlineLevel="0" collapsed="false">
      <c r="A29" s="5" t="str">
        <f aca="false">IF(C29="","",ROW()-5+1)</f>
        <v/>
      </c>
      <c r="B29" s="6"/>
      <c r="C29" s="7"/>
      <c r="D29" s="7"/>
      <c r="E29" s="5"/>
      <c r="F29" s="8"/>
      <c r="G29" s="8"/>
      <c r="H29" s="8"/>
      <c r="I29" s="8" t="str">
        <f aca="false">IF(C29="","",F29-H29)</f>
        <v/>
      </c>
      <c r="J29" s="5" t="str">
        <f aca="false">IF(C29="","",IF(H29=0,"Paid","Due"))</f>
        <v/>
      </c>
    </row>
    <row r="30" customFormat="false" ht="15" hidden="false" customHeight="false" outlineLevel="0" collapsed="false">
      <c r="A30" s="9" t="str">
        <f aca="false">IF(C30="","",ROW()-5+1)</f>
        <v/>
      </c>
      <c r="B30" s="10"/>
      <c r="C30" s="11"/>
      <c r="D30" s="11"/>
      <c r="E30" s="9"/>
      <c r="F30" s="12"/>
      <c r="G30" s="12"/>
      <c r="H30" s="12"/>
      <c r="I30" s="12" t="str">
        <f aca="false">IF(C30="","",F30-H30)</f>
        <v/>
      </c>
      <c r="J30" s="9" t="str">
        <f aca="false">IF(C30="","",IF(H30=0,"Paid","Due"))</f>
        <v/>
      </c>
    </row>
    <row r="31" customFormat="false" ht="15" hidden="false" customHeight="false" outlineLevel="0" collapsed="false">
      <c r="A31" s="5" t="str">
        <f aca="false">IF(C31="","",ROW()-5+1)</f>
        <v/>
      </c>
      <c r="B31" s="6"/>
      <c r="C31" s="7"/>
      <c r="D31" s="7"/>
      <c r="E31" s="5"/>
      <c r="F31" s="8"/>
      <c r="G31" s="8"/>
      <c r="H31" s="8"/>
      <c r="I31" s="8" t="str">
        <f aca="false">IF(C31="","",F31-H31)</f>
        <v/>
      </c>
      <c r="J31" s="5" t="str">
        <f aca="false">IF(C31="","",IF(H31=0,"Paid","Due"))</f>
        <v/>
      </c>
    </row>
    <row r="32" customFormat="false" ht="15" hidden="false" customHeight="false" outlineLevel="0" collapsed="false">
      <c r="A32" s="9" t="str">
        <f aca="false">IF(C32="","",ROW()-5+1)</f>
        <v/>
      </c>
      <c r="B32" s="10"/>
      <c r="C32" s="11"/>
      <c r="D32" s="11"/>
      <c r="E32" s="9"/>
      <c r="F32" s="12"/>
      <c r="G32" s="12"/>
      <c r="H32" s="12"/>
      <c r="I32" s="12" t="str">
        <f aca="false">IF(C32="","",F32-H32)</f>
        <v/>
      </c>
      <c r="J32" s="9" t="str">
        <f aca="false">IF(C32="","",IF(H32=0,"Paid","Due"))</f>
        <v/>
      </c>
    </row>
    <row r="33" customFormat="false" ht="15" hidden="false" customHeight="false" outlineLevel="0" collapsed="false">
      <c r="A33" s="5" t="str">
        <f aca="false">IF(C33="","",ROW()-5+1)</f>
        <v/>
      </c>
      <c r="B33" s="6"/>
      <c r="C33" s="7"/>
      <c r="D33" s="7"/>
      <c r="E33" s="5"/>
      <c r="F33" s="8"/>
      <c r="G33" s="8"/>
      <c r="H33" s="8"/>
      <c r="I33" s="8" t="str">
        <f aca="false">IF(C33="","",F33-H33)</f>
        <v/>
      </c>
      <c r="J33" s="5" t="str">
        <f aca="false">IF(C33="","",IF(H33=0,"Paid","Due"))</f>
        <v/>
      </c>
    </row>
    <row r="34" customFormat="false" ht="15" hidden="false" customHeight="false" outlineLevel="0" collapsed="false">
      <c r="A34" s="9" t="str">
        <f aca="false">IF(C34="","",ROW()-5+1)</f>
        <v/>
      </c>
      <c r="B34" s="10"/>
      <c r="C34" s="11"/>
      <c r="D34" s="11"/>
      <c r="E34" s="9"/>
      <c r="F34" s="12"/>
      <c r="G34" s="12"/>
      <c r="H34" s="12"/>
      <c r="I34" s="12" t="str">
        <f aca="false">IF(C34="","",F34-H34)</f>
        <v/>
      </c>
      <c r="J34" s="9" t="str">
        <f aca="false">IF(C34="","",IF(H34=0,"Paid","Due"))</f>
        <v/>
      </c>
    </row>
    <row r="35" customFormat="false" ht="15" hidden="false" customHeight="false" outlineLevel="0" collapsed="false">
      <c r="A35" s="5" t="str">
        <f aca="false">IF(C35="","",ROW()-5+1)</f>
        <v/>
      </c>
      <c r="B35" s="6"/>
      <c r="C35" s="7"/>
      <c r="D35" s="7"/>
      <c r="E35" s="5"/>
      <c r="F35" s="8"/>
      <c r="G35" s="8"/>
      <c r="H35" s="8"/>
      <c r="I35" s="8" t="str">
        <f aca="false">IF(C35="","",F35-H35)</f>
        <v/>
      </c>
      <c r="J35" s="5" t="str">
        <f aca="false">IF(C35="","",IF(H35=0,"Paid","Due"))</f>
        <v/>
      </c>
    </row>
    <row r="36" customFormat="false" ht="21.75" hidden="false" customHeight="true" outlineLevel="0" collapsed="false">
      <c r="A36" s="13" t="s">
        <v>12</v>
      </c>
      <c r="B36" s="13"/>
      <c r="C36" s="13"/>
      <c r="D36" s="13"/>
      <c r="E36" s="13"/>
      <c r="F36" s="14" t="n">
        <f aca="false">SUM(F5:F35)</f>
        <v>0</v>
      </c>
      <c r="G36" s="14" t="n">
        <f aca="false">SUM(G5:G35)</f>
        <v>0</v>
      </c>
      <c r="H36" s="14" t="n">
        <f aca="false">SUM(H5:H35)</f>
        <v>0</v>
      </c>
      <c r="I36" s="14" t="n">
        <f aca="false">SUM(I5:I35)</f>
        <v>0</v>
      </c>
      <c r="J36" s="15" t="str">
        <f aca="false">COUNTIF(C5:C35,"?*")&amp;" bikes"</f>
        <v>0 bikes</v>
      </c>
    </row>
    <row r="38" customFormat="false" ht="15" hidden="false" customHeight="false" outlineLevel="0" collapsed="false">
      <c r="A38" s="16" t="s">
        <v>13</v>
      </c>
      <c r="B38" s="16"/>
      <c r="C38" s="16"/>
      <c r="D38" s="16"/>
      <c r="E38" s="16"/>
      <c r="F38" s="16"/>
      <c r="G38" s="16"/>
      <c r="H38" s="16"/>
      <c r="I38" s="16"/>
      <c r="J38" s="16"/>
    </row>
    <row r="39" customFormat="false" ht="15" hidden="false" customHeight="false" outlineLevel="0" collapsed="false">
      <c r="A39" s="17" t="s">
        <v>14</v>
      </c>
      <c r="B39" s="17"/>
      <c r="C39" s="17"/>
      <c r="D39" s="17"/>
      <c r="E39" s="17"/>
      <c r="F39" s="17"/>
      <c r="G39" s="17"/>
      <c r="H39" s="17"/>
      <c r="I39" s="17"/>
      <c r="J39" s="17"/>
    </row>
    <row r="40" customFormat="false" ht="15" hidden="false" customHeight="false" outlineLevel="0" collapsed="false">
      <c r="A40" s="17" t="s">
        <v>15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17" t="s">
        <v>16</v>
      </c>
      <c r="B41" s="17"/>
      <c r="C41" s="17"/>
      <c r="D41" s="17"/>
      <c r="E41" s="17"/>
      <c r="F41" s="17"/>
      <c r="G41" s="17"/>
      <c r="H41" s="17"/>
      <c r="I41" s="17"/>
      <c r="J41" s="17"/>
    </row>
    <row r="42" customFormat="false" ht="15" hidden="false" customHeight="false" outlineLevel="0" collapsed="false">
      <c r="A42" s="17" t="s">
        <v>17</v>
      </c>
      <c r="B42" s="17"/>
      <c r="C42" s="17"/>
      <c r="D42" s="17"/>
      <c r="E42" s="17"/>
      <c r="F42" s="17"/>
      <c r="G42" s="17"/>
      <c r="H42" s="17"/>
      <c r="I42" s="17"/>
      <c r="J42" s="17"/>
    </row>
  </sheetData>
  <autoFilter ref="A4:J35"/>
  <mergeCells count="8">
    <mergeCell ref="A1:J1"/>
    <mergeCell ref="A2:J2"/>
    <mergeCell ref="A36:E36"/>
    <mergeCell ref="A38:J38"/>
    <mergeCell ref="A39:J39"/>
    <mergeCell ref="A40:J40"/>
    <mergeCell ref="A41:J41"/>
    <mergeCell ref="A42:J42"/>
  </mergeCells>
  <conditionalFormatting sqref="J5:J35">
    <cfRule type="expression" priority="2" aboveAverage="0" equalAverage="0" bottom="0" percent="0" rank="0" text="" dxfId="4">
      <formula>$J5="Paid"</formula>
    </cfRule>
    <cfRule type="expression" priority="3" aboveAverage="0" equalAverage="0" bottom="0" percent="0" rank="0" text="" dxfId="5">
      <formula>$J5="Due"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2026-08-16T07:47:58Z</dcterms:created>
  <dc:creator>openpyxl</dc:creator>
  <dc:description/>
  <dc:language>en-US</dc:language>
  <cp:lastModifiedBy/>
  <dcterms:modified xsi:type="dcterms:W3CDTF">2026-08-16T07:47:58Z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